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NIST FrameWork\Nist_prj\03_ai-threat-modeling-mitre-atlas\exercises\starter\"/>
    </mc:Choice>
  </mc:AlternateContent>
  <bookViews>
    <workbookView xWindow="0" yWindow="0" windowWidth="16380" windowHeight="8196" tabRatio="500" firstSheet="1" activeTab="2"/>
  </bookViews>
  <sheets>
    <sheet name="Scenario Brief" sheetId="1" r:id="rId1"/>
    <sheet name="Threat Model" sheetId="2" r:id="rId2"/>
    <sheet name="Board Brief" sheetId="3" r:id="rId3"/>
    <sheet name="Scoring Rubric" sheetId="4" r:id="rId4"/>
    <sheet name="ATLAS TTP Reference" sheetId="5" r:id="rId5"/>
    <sheet name="Control Family Reference" sheetId="6" r:id="rId6"/>
    <sheet name="ATLAS Reference Notes" sheetId="7" r:id="rId7"/>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6" i="2" l="1"/>
  <c r="H6" i="2" s="1"/>
  <c r="G5" i="2"/>
  <c r="H5" i="2" s="1"/>
  <c r="G4" i="2"/>
  <c r="H4" i="2" s="1"/>
  <c r="G3" i="2"/>
  <c r="H3" i="2" s="1"/>
  <c r="G2" i="2"/>
  <c r="H2" i="2" s="1"/>
</calcChain>
</file>

<file path=xl/sharedStrings.xml><?xml version="1.0" encoding="utf-8"?>
<sst xmlns="http://schemas.openxmlformats.org/spreadsheetml/2006/main" count="229" uniqueCount="186">
  <si>
    <t>FinTrust — AI Threat Modeling Exercise (MITRE ATLAS)</t>
  </si>
  <si>
    <t>COMPANY: FinTrust (650 employees, fintech)</t>
  </si>
  <si>
    <t>SYSTEM: FinTrust IDV — face-matching identity-verification ML pipeline. Used during customer onboarding (KYC) to decide whether to admit a new customer to the platform.</t>
  </si>
  <si>
    <t>DEPLOYMENT: Public mobile-app endpoint. Customer uploads a selfie + a photo of their government-issued ID. The face-match model returns a similarity score; a downstream rules engine combines that score with document-OCR signals to make the KYC admit / decline / manual-review decision.</t>
  </si>
  <si>
    <t>REGULATORY CONTEXT: GDPR (biometric data — Art. 9 special-category data); EU AI Act (biometric identification — High-Risk Annex III §1); US BSA/AML (KYC obligations); state biometric privacy laws (BIPA-style).</t>
  </si>
  <si>
    <t>RECENT TRIGGER: A competitor's KYC system was bypassed last quarter using printed-photo presentation attacks. The AI review board has put FinTrust IDV's launch on hold until a threat model is complete.</t>
  </si>
  <si>
    <t>ARCHITECTURE (one-line per node):</t>
  </si>
  <si>
    <t xml:space="preserve">  1. End user → mobile app (camera capture + ID upload).</t>
  </si>
  <si>
    <t xml:space="preserve">  2. App → FinTrust API gateway (TLS, mobile-app attestation, public endpoint).</t>
  </si>
  <si>
    <t xml:space="preserve">  3. Gateway → Image preprocessing service (face crop, ID document straightening).</t>
  </si>
  <si>
    <t xml:space="preserve">  4. Preprocessor → Face-match ML model (in-house, fine-tuned ResNet-style embedder + cosine similarity).</t>
  </si>
  <si>
    <t xml:space="preserve">  5. Model → KYC rules engine (combines similarity score, OCR signals, sanctions hit).</t>
  </si>
  <si>
    <t xml:space="preserve">  6. Rules engine → KYC decision (admit / decline / manual review).</t>
  </si>
  <si>
    <t xml:space="preserve">  7. Monthly retrain pipeline pulls new ID-photo pairs from production queue (with consent flag).</t>
  </si>
  <si>
    <t>YOUR TASK:</t>
  </si>
  <si>
    <t>Lead the threat-modeling session for FinTrust IDV ahead of launch. Two ATLAS TTPs are scoped end-to-end as worked examples; you scope 3 more (their IDs are pre-selected on the Threat Model sheet; the ATLAS TTP Reference sheet has the full candidate list), then produce a 1-page board-facing summary on the Board Brief sheet.</t>
  </si>
  <si>
    <t>COLOR LEGEND:</t>
  </si>
  <si>
    <t>Blue Header — Sheet / column headers</t>
  </si>
  <si>
    <t>Green — Scenario information</t>
  </si>
  <si>
    <t>Light Blue — Pre-filled context / worked example rows</t>
  </si>
  <si>
    <t>Pink — Student work areas — fill these cells</t>
  </si>
  <si>
    <t>Yellow — Reference / rubric (read-only)</t>
  </si>
  <si>
    <t>TTP ID</t>
  </si>
  <si>
    <t>TTP Name</t>
  </si>
  <si>
    <t>ATLAS Tactic</t>
  </si>
  <si>
    <t>Architecture Scoping</t>
  </si>
  <si>
    <t>Likelihood (1-5)</t>
  </si>
  <si>
    <t>Impact (1-5)</t>
  </si>
  <si>
    <t>Risk Score</t>
  </si>
  <si>
    <t>Risk Level</t>
  </si>
  <si>
    <t>Control Family</t>
  </si>
  <si>
    <t>Named Controls</t>
  </si>
  <si>
    <t>Owner</t>
  </si>
  <si>
    <t>Status</t>
  </si>
  <si>
    <t>AML.T0006</t>
  </si>
  <si>
    <t>Active Scanning</t>
  </si>
  <si>
    <t>Reconnaissance</t>
  </si>
  <si>
    <t>The mobile-app endpoint is publicly reachable; an attacker can scrape app binaries from the Play Store / App Store, extract the API contract, and probe the gateway to map FinTrust's IDV surface before any other technique is attempted.</t>
  </si>
  <si>
    <t>Gateway Controls</t>
  </si>
  <si>
    <t>1) Mobile-app attestation (Play Integrity / App Attest) at the gateway. 2) WAF rules on anomalous probe patterns. 3) Honeypot endpoints to detect mapping behavior.</t>
  </si>
  <si>
    <t>Platform Security</t>
  </si>
  <si>
    <t>Open</t>
  </si>
  <si>
    <t>AML.T0040</t>
  </si>
  <si>
    <t>AI Model Inference API Access</t>
  </si>
  <si>
    <t>AI Model Access</t>
  </si>
  <si>
    <t>The face-match endpoint is exposed via the mobile-app gateway; once an attacker has passed app attestation, they can query the model with arbitrary image pairs and observe similarity scores, providing the substrate for downstream evasion or extraction attacks.</t>
  </si>
  <si>
    <t>Gateway Controls + Behavioral Monitoring</t>
  </si>
  <si>
    <t>1) Per-account and per-IP rate limits at the gateway. 2) Anomaly detection on query-volume per session. 3) Score-quantization (return banded scores rather than raw cosine values).</t>
  </si>
  <si>
    <t>AML.T0015</t>
  </si>
  <si>
    <t>Evade AI Model — Deepfake / Generative-Liveness Bypass</t>
  </si>
  <si>
    <t>Defense Evasion / Initial Access</t>
  </si>
  <si>
    <t>AML.T0024</t>
  </si>
  <si>
    <t>Exfiltration via AI Inference API</t>
  </si>
  <si>
    <t>Exfiltration</t>
  </si>
  <si>
    <t>AML.T0020</t>
  </si>
  <si>
    <t>Poison Training Data</t>
  </si>
  <si>
    <t>Persistence / Resource Development</t>
  </si>
  <si>
    <t>BOARD BRIEF — FinTrust IDV — pre-launch board brief</t>
  </si>
  <si>
    <t>System under review:</t>
  </si>
  <si>
    <t>FinTrust IDV: face-matching identity-verification ML pipeline on a public mobile-app endpoint; in-house face-match model; downstream KYC rules engine; monthly retrain pulling from production with consent flag.</t>
  </si>
  <si>
    <t>A. TOP 3 TTPS (ranked by Risk Score; tie-break by Impact)</t>
  </si>
  <si>
    <t>Rank</t>
  </si>
  <si>
    <t>B. RECOMMENDED CONTROLS PER TOP TTP</t>
  </si>
  <si>
    <t>TTP</t>
  </si>
  <si>
    <t>Recommended controls + residual risk after controls</t>
  </si>
  <si>
    <t>C. RECOMMENDATION TO THE AI REVIEW BOARD</t>
  </si>
  <si>
    <t>Decision:</t>
  </si>
  <si>
    <t>[Your response here — pick exactly one: Launch / Conditional Launch / No-Go.]</t>
  </si>
  <si>
    <t>Rationale:</t>
  </si>
  <si>
    <t>Prepared by:</t>
  </si>
  <si>
    <t>Companion artifact:</t>
  </si>
  <si>
    <t>Threat Model sheet (this workbook)</t>
  </si>
  <si>
    <t>Frameworks anchored:</t>
  </si>
  <si>
    <t>MITRE ATLAS (primary); STRIDE-ML / LINDDUN (design-time cross-check).</t>
  </si>
  <si>
    <t>LIKELIHOOD SCALE (1–5)</t>
  </si>
  <si>
    <t>1</t>
  </si>
  <si>
    <t>Rare — extremely unlikely to occur (&lt; 5%) given current architecture / threat landscape</t>
  </si>
  <si>
    <t>2</t>
  </si>
  <si>
    <t>Unlikely — low probability (5–25%); requires sophisticated attacker or unusual circumstances</t>
  </si>
  <si>
    <t>3</t>
  </si>
  <si>
    <t>Possible — moderate probability (25–50%); plausible against a motivated attacker</t>
  </si>
  <si>
    <t>4</t>
  </si>
  <si>
    <t>Likely — high probability (50–75%); within 12 months given the public surface</t>
  </si>
  <si>
    <t>5</t>
  </si>
  <si>
    <t>Almost Certain — very likely (&gt; 75%); already documented against comparable systems</t>
  </si>
  <si>
    <t>IMPACT SCALE (1–5)</t>
  </si>
  <si>
    <t>Negligible — minimal organizational or user impact; recoverable with internal handling</t>
  </si>
  <si>
    <t>Minor — limited user impact; some manual response cost; no regulatory exposure</t>
  </si>
  <si>
    <t>Moderate — affects a measurable user subset; possible regulatory inquiry; brand exposure</t>
  </si>
  <si>
    <t>Major — broad user impact; clear regulatory exposure; material financial loss</t>
  </si>
  <si>
    <t>Catastrophic — systemic failure; large-scale user harm; regulatory action; existential brand risk</t>
  </si>
  <si>
    <t>RISK LEVEL THRESHOLDS  (Risk Score = Likelihood × Impact)</t>
  </si>
  <si>
    <t>CRITICAL</t>
  </si>
  <si>
    <t>≥ 15 — Immediate executive attention; block launch until mitigated</t>
  </si>
  <si>
    <t>HIGH</t>
  </si>
  <si>
    <t>10–14 — Prioritize mitigation in current sprint; revisit at AI review board</t>
  </si>
  <si>
    <t>MEDIUM</t>
  </si>
  <si>
    <t>5–9 — Schedule mitigation within 90 days; track in risk register</t>
  </si>
  <si>
    <t>LOW</t>
  </si>
  <si>
    <t>&lt; 5 — Monitor; mitigate as resources allow</t>
  </si>
  <si>
    <t>One-Line Description</t>
  </si>
  <si>
    <t>AML.T0000</t>
  </si>
  <si>
    <t>Search Victim's Publicly Available Research Materials</t>
  </si>
  <si>
    <t>Adversary scans public papers, model cards, or repos to learn the target's model architecture, training data, or guardrails.</t>
  </si>
  <si>
    <t>Adversary probes the AI system's API surface — endpoints, rate limits, auth — to map the attack surface.</t>
  </si>
  <si>
    <t>Evade AI Model</t>
  </si>
  <si>
    <t>Adversary crafts inputs designed to be misclassified by the model (adversarial / presentation / prompt-evasion attacks).</t>
  </si>
  <si>
    <t>AML.T0018</t>
  </si>
  <si>
    <t>Backdoor AI Model</t>
  </si>
  <si>
    <t>Persistence</t>
  </si>
  <si>
    <t>Adversary embeds a trigger into a model (during training or fine-tune) so that specific inputs produce attacker-chosen outputs.</t>
  </si>
  <si>
    <t>Adversary contaminates training or retrain data to degrade performance, induce bias, or plant a backdoor.</t>
  </si>
  <si>
    <t>Adversary issues large numbers of queries to reconstruct a surrogate model, recover training data, or infer membership.</t>
  </si>
  <si>
    <t>AML.T0029</t>
  </si>
  <si>
    <t>Denial of AI Service</t>
  </si>
  <si>
    <t>Impact</t>
  </si>
  <si>
    <t>Adversary degrades or disables a model — through resource exhaustion, query flooding, or amplification — to deny service.</t>
  </si>
  <si>
    <t>Adversary obtains the ability to query the deployed model and observe outputs (precondition for many other techniques).</t>
  </si>
  <si>
    <t>AML.T0043</t>
  </si>
  <si>
    <t>Craft Adversarial Data</t>
  </si>
  <si>
    <t>AI Attack Staging</t>
  </si>
  <si>
    <t>Adversary generates adversarial examples (white-box, black-box, or transfer) targeting the deployed model.</t>
  </si>
  <si>
    <t>AML.T0044</t>
  </si>
  <si>
    <t>Full AI Model Access</t>
  </si>
  <si>
    <t>Adversary obtains direct access to model weights, enabling any white-box attack.</t>
  </si>
  <si>
    <t>AML.T0048</t>
  </si>
  <si>
    <t>External Harms</t>
  </si>
  <si>
    <t>Adversary leverages model output to cause real-world harm — financial loss, reputational damage, user harm, regulatory breach.</t>
  </si>
  <si>
    <t>AML.T0051</t>
  </si>
  <si>
    <t>LLM Prompt Injection</t>
  </si>
  <si>
    <t>Initial Access</t>
  </si>
  <si>
    <t>Adversary inserts instructions into input that an LLM treats as authoritative, overriding system prompts or invoking attacker-chosen tool calls.</t>
  </si>
  <si>
    <t>AML.T0057</t>
  </si>
  <si>
    <t>LLM Data Leakage</t>
  </si>
  <si>
    <t>Adversary induces an LLM to emit secrets or training data (system prompt, retrieved context, PII) through crafted prompts.</t>
  </si>
  <si>
    <t>What it covers</t>
  </si>
  <si>
    <t>Input Filtering</t>
  </si>
  <si>
    <t>Pre-model controls applied to inbound input — prompt-injection classifiers, adversarial-input detectors, liveness checks, input schema validation.</t>
  </si>
  <si>
    <t>Output Moderation</t>
  </si>
  <si>
    <t>Post-model controls applied to model output — toxicity / PII filters, jailbreak detectors, system-prompt-leak detectors, response gating.</t>
  </si>
  <si>
    <t>Network-layer controls — authentication, per-IP / per-account rate limits, mobile-app attestation, WAF, bot detection, CAPTCHA.</t>
  </si>
  <si>
    <t>Behavioral Monitoring</t>
  </si>
  <si>
    <t>Telemetry-driven controls — anomaly detection on query patterns, session-level outlier detection, drift detection, abuse-pattern alerting.</t>
  </si>
  <si>
    <t>Tool-Use Guardrails</t>
  </si>
  <si>
    <t>Controls on agent tool calls — allowlists, server-side parameter validation, hard caps, mandatory human-in-the-loop above thresholds.</t>
  </si>
  <si>
    <t>Training-Pipeline Integrity</t>
  </si>
  <si>
    <t>Controls on model training / retrain — provenance tracking, outlier filtering, hold-out adversarial test sets, model-promotion gates.</t>
  </si>
  <si>
    <t>Financial Controls</t>
  </si>
  <si>
    <t>Controls that bound financial blast radius — transaction caps, daily aggregate limits, mandatory dual-control, revocation paths.</t>
  </si>
  <si>
    <t>Logging &amp; Audit</t>
  </si>
  <si>
    <t>Reproducible logs of model inputs, outputs, prompts, retrieved context, and tool calls for investigation and regulator response.</t>
  </si>
  <si>
    <t>Topic</t>
  </si>
  <si>
    <t>Specification detail</t>
  </si>
  <si>
    <t>AML.T0048 sub-techniques</t>
  </si>
  <si>
    <t>ATLAS structures External Harms (AML.T0048) into sub-techniques. The financial-loss case is captured precisely by AML.T0048.000 "Financial Harm" — ATLAS uses the term "Financial Harm" in the catalog.</t>
  </si>
  <si>
    <t>AML.T0018 parent tactics</t>
  </si>
  <si>
    <t>ATLAS lists Backdoor AI Model under both "Persistence" and "AI Attack Staging" tactics, depending on whether the backdoor is staged before deployment or seeded post-deployment.</t>
  </si>
  <si>
    <t>AML.T0000 official name</t>
  </si>
  <si>
    <t>The catalog name includes "for": "Search for Victim's Publicly Available Research Materials."</t>
  </si>
  <si>
    <t>ML → AI naming evolution</t>
  </si>
  <si>
    <t>ATLAS has been renaming the prefix from "ML" to "AI" in some technique names (e.g., AML.T0040 is "AI Model Inference API Access" in current revisions). Technique IDs are the stable canonical reference; treat the ID as authoritative when the name on the live catalog differs from the workbook label.</t>
  </si>
  <si>
    <t>Authoritative reference</t>
  </si>
  <si>
    <t>See https://atlas.mitre.org/ and per-technique pages (e.g., https://atlas.mitre.org/techniques/AML.T0048/).</t>
  </si>
  <si>
    <t>The mobile-app face-match endpoint accepts user-uploaded selfies. An attacker uses a real-time generative AI face-swap filter (deepfake) to bypass the liveness check, injecting a synthetic identity to pass KYC, directly mirroring the recent competitor incident</t>
  </si>
  <si>
    <t>Presentation Attack Detection (PAD) &amp; Liveness Controls</t>
  </si>
  <si>
    <t>1) Active challenge-response liveness (e.g., "turn head", "read numbers"). 2) 3D depth-sensing (TrueDepth camera APIs). 3) On-device injection-attack detection (detecting virtual cameras).</t>
  </si>
  <si>
    <t xml:space="preserve">Computer Vision </t>
  </si>
  <si>
    <t>An attacker uses the public face-match API to query thousands of image pairs, observing similarity scores to reverse-engineer a surrogate of the face-match embedder, or to recover enrolled biometrics via membership-inference attacks.</t>
  </si>
  <si>
    <t>API Security &amp; Behavioral Monitoring</t>
  </si>
  <si>
    <t>1) Strict score quantization (returning "Match/No Match" instead of raw cosine similarity scores). 2) Hard daily query caps per account/IP. 3) Extraction-pattern anomaly detection on API volume.</t>
  </si>
  <si>
    <t xml:space="preserve">Platform Security / MLOps Team
</t>
  </si>
  <si>
    <t>An attacker pushes a coordinated batch of poisoned biometric samples or synthetic identities through the production onboarding queue, which are then ingested into the monthly retrain pipeline, causing the model to learn a targeted blind spot that allows future KYC bypasses at scale.</t>
  </si>
  <si>
    <t>Data Pipeline &amp; Model Integrity Controls</t>
  </si>
  <si>
    <t>1) Outlier filtering and anomaly detection on the training data ingestion path. 2) Adversarial canary test sets evaluated before model promotion. 3) Human review of edge-case data before adding it to the retrain queue.</t>
  </si>
  <si>
    <t>Data Science / MLOps Team</t>
  </si>
  <si>
    <t>Critical</t>
  </si>
  <si>
    <t xml:space="preserve">Exfiltration via AI Inference API
</t>
  </si>
  <si>
    <t>High</t>
  </si>
  <si>
    <t xml:space="preserve">AML.T0015 — Deepfake / Generative-Liveness Bypass
</t>
  </si>
  <si>
    <t>Implement active challenge-response liveness and 3D depth-sensing. Residual risk: Highly sophisticated, real-time 3D-printed masks or advanced deepfakes may still bypass the check, though at a much higher cost to the attacker.</t>
  </si>
  <si>
    <t xml:space="preserve">AML.T0024 — Exfiltration via AI Inference API
</t>
  </si>
  <si>
    <t>Apply strict score quantization (Match/No Match) and hard daily query caps. Residual risk: Attackers using distributed IP networks (botnets) may still extract enough data over a long period to build a weak surrogate model.</t>
  </si>
  <si>
    <t xml:space="preserve">AML.T0020 — Poison Training Data
</t>
  </si>
  <si>
    <t>Deploy outlier filtering on the ingestion path and adversarial canary sets before model promotion. Residual risk: A slow, coordinated poisoning campaign by a patient attacker could drift the model slightly without triggering automated anomaly thresholds.</t>
  </si>
  <si>
    <t>FinTrust IDV faces a Critical deepfake bypass risk (Score: 20). While the overall risk posture is manageable with our proposed mitigation families, launching without active liveness detection invites catastrophic financial and regulatory damage. We recommend a Conditional Launch: the system may go live ONLY after active challenge-response liveness and strict API score-quantization are deployed and validated by a red-team exercise.</t>
  </si>
  <si>
    <t>Muhammad Safyan— AI Security Architect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</si>
</sst>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1"/>
      <color rgb="FFFFFFFF"/>
      <name val="Calibri"/>
      <charset val="1"/>
    </font>
    <font>
      <sz val="11"/>
      <name val="Calibri"/>
      <charset val="1"/>
    </font>
    <font>
      <b/>
      <sz val="11"/>
      <name val="Calibri"/>
      <charset val="1"/>
    </font>
    <font>
      <b/>
      <sz val="11"/>
      <color rgb="FFFFFFFF"/>
      <name val="Cambria"/>
      <charset val="1"/>
    </font>
  </fonts>
  <fills count="7">
    <fill>
      <patternFill patternType="none"/>
    </fill>
    <fill>
      <patternFill patternType="gray125"/>
    </fill>
    <fill>
      <patternFill patternType="solid">
        <fgColor rgb="FF4472C4"/>
        <bgColor rgb="FF666699"/>
      </patternFill>
    </fill>
    <fill>
      <patternFill patternType="solid">
        <fgColor rgb="FFC6EFCE"/>
        <bgColor rgb="FFD6E4F0"/>
      </patternFill>
    </fill>
    <fill>
      <patternFill patternType="solid">
        <fgColor rgb="FFD6E4F0"/>
        <bgColor rgb="FFC6EFCE"/>
      </patternFill>
    </fill>
    <fill>
      <patternFill patternType="solid">
        <fgColor rgb="FFFCE4EC"/>
        <bgColor rgb="FFD6E4F0"/>
      </patternFill>
    </fill>
    <fill>
      <patternFill patternType="solid">
        <fgColor rgb="FFFFEB9C"/>
        <bgColor rgb="FFFFCC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3"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3" borderId="1" xfId="0" applyFont="1" applyFill="1" applyBorder="1" applyAlignment="1">
      <alignment vertical="top" wrapText="1"/>
    </xf>
    <xf numFmtId="0" fontId="1" fillId="2" borderId="1" xfId="0" applyFont="1" applyFill="1" applyBorder="1" applyAlignment="1">
      <alignment horizontal="center" vertical="top" wrapText="1"/>
    </xf>
    <xf numFmtId="0" fontId="0" fillId="0" borderId="0" xfId="0" applyAlignment="1"/>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1" fillId="2"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3" fillId="0" borderId="0" xfId="0" applyFont="1" applyAlignment="1"/>
    <xf numFmtId="0" fontId="0" fillId="5"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4" fillId="2" borderId="0" xfId="0" applyFont="1" applyFill="1" applyAlignment="1"/>
    <xf numFmtId="0" fontId="0" fillId="6"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opLeftCell="A2" zoomScaleNormal="100" workbookViewId="0"/>
  </sheetViews>
  <sheetFormatPr defaultColWidth="8.6640625" defaultRowHeight="14.4" x14ac:dyDescent="0.3"/>
  <cols>
    <col min="1" max="1" width="110" style="5" customWidth="1"/>
    <col min="2" max="2" width="30" style="5" customWidth="1"/>
  </cols>
  <sheetData>
    <row r="1" spans="1:1" ht="21.75" customHeight="1" x14ac:dyDescent="0.3">
      <c r="A1" s="6" t="s">
        <v>0</v>
      </c>
    </row>
    <row r="2" spans="1:1" ht="15" customHeight="1" x14ac:dyDescent="0.3">
      <c r="A2" s="7"/>
    </row>
    <row r="3" spans="1:1" ht="15" customHeight="1" x14ac:dyDescent="0.3">
      <c r="A3" s="8" t="s">
        <v>1</v>
      </c>
    </row>
    <row r="4" spans="1:1" ht="27.75" customHeight="1" x14ac:dyDescent="0.3">
      <c r="A4" s="8" t="s">
        <v>2</v>
      </c>
    </row>
    <row r="5" spans="1:1" ht="41.25" customHeight="1" x14ac:dyDescent="0.3">
      <c r="A5" s="8" t="s">
        <v>3</v>
      </c>
    </row>
    <row r="6" spans="1:1" ht="27.75" customHeight="1" x14ac:dyDescent="0.3">
      <c r="A6" s="8" t="s">
        <v>4</v>
      </c>
    </row>
    <row r="7" spans="1:1" ht="27.75" customHeight="1" x14ac:dyDescent="0.3">
      <c r="A7" s="8" t="s">
        <v>5</v>
      </c>
    </row>
    <row r="8" spans="1:1" ht="15" customHeight="1" x14ac:dyDescent="0.3">
      <c r="A8" s="7"/>
    </row>
    <row r="9" spans="1:1" ht="15" customHeight="1" x14ac:dyDescent="0.3">
      <c r="A9" s="9" t="s">
        <v>6</v>
      </c>
    </row>
    <row r="10" spans="1:1" ht="15" customHeight="1" x14ac:dyDescent="0.3">
      <c r="A10" s="10" t="s">
        <v>7</v>
      </c>
    </row>
    <row r="11" spans="1:1" ht="15" customHeight="1" x14ac:dyDescent="0.3">
      <c r="A11" s="10" t="s">
        <v>8</v>
      </c>
    </row>
    <row r="12" spans="1:1" ht="15" customHeight="1" x14ac:dyDescent="0.3">
      <c r="A12" s="10" t="s">
        <v>9</v>
      </c>
    </row>
    <row r="13" spans="1:1" ht="15" customHeight="1" x14ac:dyDescent="0.3">
      <c r="A13" s="10" t="s">
        <v>10</v>
      </c>
    </row>
    <row r="14" spans="1:1" ht="15" customHeight="1" x14ac:dyDescent="0.3">
      <c r="A14" s="10" t="s">
        <v>11</v>
      </c>
    </row>
    <row r="15" spans="1:1" ht="15" customHeight="1" x14ac:dyDescent="0.3">
      <c r="A15" s="10" t="s">
        <v>12</v>
      </c>
    </row>
    <row r="16" spans="1:1" ht="15" customHeight="1" x14ac:dyDescent="0.3">
      <c r="A16" s="10" t="s">
        <v>13</v>
      </c>
    </row>
    <row r="17" spans="1:1" ht="15" customHeight="1" x14ac:dyDescent="0.3">
      <c r="A17" s="7"/>
    </row>
    <row r="18" spans="1:1" ht="15" customHeight="1" x14ac:dyDescent="0.3">
      <c r="A18" s="9" t="s">
        <v>14</v>
      </c>
    </row>
    <row r="19" spans="1:1" ht="41.25" customHeight="1" x14ac:dyDescent="0.3">
      <c r="A19" s="8" t="s">
        <v>15</v>
      </c>
    </row>
    <row r="20" spans="1:1" ht="15" customHeight="1" x14ac:dyDescent="0.3">
      <c r="A20" s="7"/>
    </row>
    <row r="21" spans="1:1" ht="15" customHeight="1" x14ac:dyDescent="0.3">
      <c r="A21" s="9" t="s">
        <v>16</v>
      </c>
    </row>
    <row r="22" spans="1:1" ht="15" customHeight="1" x14ac:dyDescent="0.3">
      <c r="A22" s="6" t="s">
        <v>17</v>
      </c>
    </row>
    <row r="23" spans="1:1" ht="15" customHeight="1" x14ac:dyDescent="0.3">
      <c r="A23" s="8" t="s">
        <v>18</v>
      </c>
    </row>
    <row r="24" spans="1:1" ht="15" customHeight="1" x14ac:dyDescent="0.3">
      <c r="A24" s="10" t="s">
        <v>19</v>
      </c>
    </row>
    <row r="25" spans="1:1" ht="15" customHeight="1" x14ac:dyDescent="0.3">
      <c r="A25" s="11" t="s">
        <v>20</v>
      </c>
    </row>
    <row r="26" spans="1:1" ht="15" customHeight="1" x14ac:dyDescent="0.3">
      <c r="A26" s="12"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topLeftCell="A4" zoomScaleNormal="100" workbookViewId="0">
      <selection activeCell="M6" sqref="M6"/>
    </sheetView>
  </sheetViews>
  <sheetFormatPr defaultColWidth="8.6640625" defaultRowHeight="14.4" x14ac:dyDescent="0.3"/>
  <cols>
    <col min="1" max="1" width="11" style="5" customWidth="1"/>
    <col min="2" max="2" width="28" style="5" customWidth="1"/>
    <col min="3" max="3" width="18" style="5" customWidth="1"/>
    <col min="4" max="4" width="55" style="5" customWidth="1"/>
    <col min="5" max="6" width="12" style="5" customWidth="1"/>
    <col min="7" max="7" width="10" style="5" customWidth="1"/>
    <col min="8" max="8" width="12" style="5" customWidth="1"/>
    <col min="9" max="9" width="32" style="5" customWidth="1"/>
    <col min="10" max="10" width="60" style="5" customWidth="1"/>
    <col min="11" max="11" width="22" style="5" customWidth="1"/>
    <col min="12" max="12" width="12" style="5" customWidth="1"/>
  </cols>
  <sheetData>
    <row r="1" spans="1:12" ht="30" customHeight="1" x14ac:dyDescent="0.3">
      <c r="A1" s="13" t="s">
        <v>22</v>
      </c>
      <c r="B1" s="13" t="s">
        <v>23</v>
      </c>
      <c r="C1" s="13" t="s">
        <v>24</v>
      </c>
      <c r="D1" s="13" t="s">
        <v>25</v>
      </c>
      <c r="E1" s="13" t="s">
        <v>26</v>
      </c>
      <c r="F1" s="13" t="s">
        <v>27</v>
      </c>
      <c r="G1" s="13" t="s">
        <v>28</v>
      </c>
      <c r="H1" s="13" t="s">
        <v>29</v>
      </c>
      <c r="I1" s="13" t="s">
        <v>30</v>
      </c>
      <c r="J1" s="13" t="s">
        <v>31</v>
      </c>
      <c r="K1" s="13" t="s">
        <v>32</v>
      </c>
      <c r="L1" s="13" t="s">
        <v>33</v>
      </c>
    </row>
    <row r="2" spans="1:12" ht="90" customHeight="1" x14ac:dyDescent="0.3">
      <c r="A2" s="14" t="s">
        <v>34</v>
      </c>
      <c r="B2" s="15" t="s">
        <v>35</v>
      </c>
      <c r="C2" s="15" t="s">
        <v>36</v>
      </c>
      <c r="D2" s="15" t="s">
        <v>37</v>
      </c>
      <c r="E2" s="14">
        <v>5</v>
      </c>
      <c r="F2" s="14">
        <v>1</v>
      </c>
      <c r="G2" s="14">
        <f>E2*F2</f>
        <v>5</v>
      </c>
      <c r="H2" s="14" t="str">
        <f>IF(G2&gt;=15,"Critical",IF(G2&gt;=10,"High",IF(G2&gt;=5,"Medium","Low")))</f>
        <v>Medium</v>
      </c>
      <c r="I2" s="15" t="s">
        <v>38</v>
      </c>
      <c r="J2" s="15" t="s">
        <v>39</v>
      </c>
      <c r="K2" s="14" t="s">
        <v>40</v>
      </c>
      <c r="L2" s="14" t="s">
        <v>41</v>
      </c>
    </row>
    <row r="3" spans="1:12" ht="90" customHeight="1" x14ac:dyDescent="0.3">
      <c r="A3" s="14" t="s">
        <v>42</v>
      </c>
      <c r="B3" s="15" t="s">
        <v>43</v>
      </c>
      <c r="C3" s="15" t="s">
        <v>44</v>
      </c>
      <c r="D3" s="15" t="s">
        <v>45</v>
      </c>
      <c r="E3" s="14">
        <v>4</v>
      </c>
      <c r="F3" s="14">
        <v>2</v>
      </c>
      <c r="G3" s="14">
        <f>E3*F3</f>
        <v>8</v>
      </c>
      <c r="H3" s="14" t="str">
        <f>IF(G3&gt;=15,"Critical",IF(G3&gt;=10,"High",IF(G3&gt;=5,"Medium","Low")))</f>
        <v>Medium</v>
      </c>
      <c r="I3" s="15" t="s">
        <v>46</v>
      </c>
      <c r="J3" s="15" t="s">
        <v>47</v>
      </c>
      <c r="K3" s="14" t="s">
        <v>40</v>
      </c>
      <c r="L3" s="14" t="s">
        <v>41</v>
      </c>
    </row>
    <row r="4" spans="1:12" ht="90" customHeight="1" x14ac:dyDescent="0.3">
      <c r="A4" s="16" t="s">
        <v>48</v>
      </c>
      <c r="B4" s="17" t="s">
        <v>49</v>
      </c>
      <c r="C4" s="17" t="s">
        <v>50</v>
      </c>
      <c r="D4" s="17" t="s">
        <v>163</v>
      </c>
      <c r="E4" s="16">
        <v>4</v>
      </c>
      <c r="F4" s="16">
        <v>5</v>
      </c>
      <c r="G4" s="16">
        <f>IF(OR(E4="",F4=""),"",E4*F4)</f>
        <v>20</v>
      </c>
      <c r="H4" s="16" t="str">
        <f>IF(G4="","",IF(G4&gt;=15,"Critical",IF(G4&gt;=10,"High",IF(G4&gt;=5,"Medium","Low"))))</f>
        <v>Critical</v>
      </c>
      <c r="I4" s="17" t="s">
        <v>164</v>
      </c>
      <c r="J4" s="17" t="s">
        <v>165</v>
      </c>
      <c r="K4" s="16" t="s">
        <v>166</v>
      </c>
      <c r="L4" s="16" t="s">
        <v>41</v>
      </c>
    </row>
    <row r="5" spans="1:12" ht="90" customHeight="1" x14ac:dyDescent="0.3">
      <c r="A5" s="16" t="s">
        <v>51</v>
      </c>
      <c r="B5" s="17" t="s">
        <v>52</v>
      </c>
      <c r="C5" s="17" t="s">
        <v>53</v>
      </c>
      <c r="D5" s="17" t="s">
        <v>167</v>
      </c>
      <c r="E5" s="16">
        <v>3</v>
      </c>
      <c r="F5" s="16">
        <v>4</v>
      </c>
      <c r="G5" s="16">
        <f>IF(OR(E5="",F5=""),"",E5*F5)</f>
        <v>12</v>
      </c>
      <c r="H5" s="16" t="str">
        <f>IF(G5="","",IF(G5&gt;=15,"Critical",IF(G5&gt;=10,"High",IF(G5&gt;=5,"Medium","Low"))))</f>
        <v>High</v>
      </c>
      <c r="I5" s="17" t="s">
        <v>168</v>
      </c>
      <c r="J5" s="17" t="s">
        <v>169</v>
      </c>
      <c r="K5" s="16" t="s">
        <v>170</v>
      </c>
      <c r="L5" s="16" t="s">
        <v>41</v>
      </c>
    </row>
    <row r="6" spans="1:12" ht="90" customHeight="1" x14ac:dyDescent="0.3">
      <c r="A6" s="16" t="s">
        <v>54</v>
      </c>
      <c r="B6" s="17" t="s">
        <v>55</v>
      </c>
      <c r="C6" s="17" t="s">
        <v>56</v>
      </c>
      <c r="D6" s="17" t="s">
        <v>171</v>
      </c>
      <c r="E6" s="16">
        <v>2</v>
      </c>
      <c r="F6" s="16">
        <v>5</v>
      </c>
      <c r="G6" s="16">
        <f>IF(OR(E6="",F6=""),"",E6*F6)</f>
        <v>10</v>
      </c>
      <c r="H6" s="16" t="str">
        <f>IF(G6="","",IF(G6&gt;=15,"Critical",IF(G6&gt;=10,"High",IF(G6&gt;=5,"Medium","Low"))))</f>
        <v>High</v>
      </c>
      <c r="I6" s="17" t="s">
        <v>172</v>
      </c>
      <c r="J6" s="17" t="s">
        <v>173</v>
      </c>
      <c r="K6" s="16" t="s">
        <v>174</v>
      </c>
      <c r="L6" s="16" t="s">
        <v>41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topLeftCell="A18" zoomScaleNormal="100" workbookViewId="0">
      <selection activeCell="C20" sqref="C20"/>
    </sheetView>
  </sheetViews>
  <sheetFormatPr defaultColWidth="8.6640625" defaultRowHeight="14.4" x14ac:dyDescent="0.3"/>
  <cols>
    <col min="1" max="1" width="8" style="5" customWidth="1"/>
    <col min="2" max="2" width="14" style="5" customWidth="1"/>
    <col min="3" max="3" width="50" style="5" customWidth="1"/>
    <col min="4" max="5" width="14" style="5" customWidth="1"/>
  </cols>
  <sheetData>
    <row r="1" spans="1:5" ht="24" customHeight="1" x14ac:dyDescent="0.3">
      <c r="A1" s="4" t="s">
        <v>57</v>
      </c>
      <c r="B1" s="4"/>
      <c r="C1" s="4"/>
      <c r="D1" s="4"/>
      <c r="E1" s="4"/>
    </row>
    <row r="2" spans="1:5" ht="39.75" customHeight="1" x14ac:dyDescent="0.3">
      <c r="A2" s="18" t="s">
        <v>58</v>
      </c>
      <c r="B2" s="3" t="s">
        <v>59</v>
      </c>
      <c r="C2" s="3"/>
      <c r="D2" s="3"/>
      <c r="E2" s="3"/>
    </row>
    <row r="4" spans="1:5" ht="21.75" customHeight="1" x14ac:dyDescent="0.3">
      <c r="A4" s="4" t="s">
        <v>60</v>
      </c>
      <c r="B4" s="4"/>
      <c r="C4" s="4"/>
      <c r="D4" s="4"/>
      <c r="E4" s="4"/>
    </row>
    <row r="5" spans="1:5" ht="15" customHeight="1" x14ac:dyDescent="0.3">
      <c r="A5" s="13" t="s">
        <v>61</v>
      </c>
      <c r="B5" s="13" t="s">
        <v>22</v>
      </c>
      <c r="C5" s="13" t="s">
        <v>23</v>
      </c>
      <c r="D5" s="13" t="s">
        <v>28</v>
      </c>
      <c r="E5" s="13" t="s">
        <v>29</v>
      </c>
    </row>
    <row r="6" spans="1:5" ht="25.5" customHeight="1" x14ac:dyDescent="0.3">
      <c r="A6" s="16">
        <v>1</v>
      </c>
      <c r="B6" s="17" t="s">
        <v>48</v>
      </c>
      <c r="C6" s="17" t="s">
        <v>49</v>
      </c>
      <c r="D6" s="17">
        <v>20</v>
      </c>
      <c r="E6" s="17" t="s">
        <v>175</v>
      </c>
    </row>
    <row r="7" spans="1:5" ht="25.5" customHeight="1" x14ac:dyDescent="0.3">
      <c r="A7" s="16">
        <v>2</v>
      </c>
      <c r="B7" s="17" t="s">
        <v>51</v>
      </c>
      <c r="C7" s="17" t="s">
        <v>176</v>
      </c>
      <c r="D7" s="17">
        <v>12</v>
      </c>
      <c r="E7" s="17" t="s">
        <v>177</v>
      </c>
    </row>
    <row r="8" spans="1:5" ht="25.5" customHeight="1" x14ac:dyDescent="0.3">
      <c r="A8" s="16">
        <v>3</v>
      </c>
      <c r="B8" s="17" t="s">
        <v>54</v>
      </c>
      <c r="C8" s="17" t="s">
        <v>55</v>
      </c>
      <c r="D8" s="17">
        <v>10</v>
      </c>
      <c r="E8" s="17" t="s">
        <v>177</v>
      </c>
    </row>
    <row r="10" spans="1:5" ht="21.75" customHeight="1" x14ac:dyDescent="0.3">
      <c r="A10" s="4" t="s">
        <v>62</v>
      </c>
      <c r="B10" s="4"/>
      <c r="C10" s="4"/>
      <c r="D10" s="4"/>
      <c r="E10" s="4"/>
    </row>
    <row r="11" spans="1:5" ht="15" customHeight="1" x14ac:dyDescent="0.3">
      <c r="A11" s="4" t="s">
        <v>63</v>
      </c>
      <c r="B11" s="4"/>
      <c r="C11" s="4" t="s">
        <v>64</v>
      </c>
      <c r="D11" s="4"/>
      <c r="E11" s="4"/>
    </row>
    <row r="12" spans="1:5" ht="69.75" customHeight="1" x14ac:dyDescent="0.3">
      <c r="A12" s="2" t="s">
        <v>178</v>
      </c>
      <c r="B12" s="2"/>
      <c r="C12" s="2" t="s">
        <v>179</v>
      </c>
      <c r="D12" s="2"/>
      <c r="E12" s="2"/>
    </row>
    <row r="13" spans="1:5" ht="69.75" customHeight="1" x14ac:dyDescent="0.3">
      <c r="A13" s="2" t="s">
        <v>180</v>
      </c>
      <c r="B13" s="2"/>
      <c r="C13" s="2" t="s">
        <v>181</v>
      </c>
      <c r="D13" s="2"/>
      <c r="E13" s="2"/>
    </row>
    <row r="14" spans="1:5" ht="69.75" customHeight="1" x14ac:dyDescent="0.3">
      <c r="A14" s="2" t="s">
        <v>182</v>
      </c>
      <c r="B14" s="2"/>
      <c r="C14" s="2" t="s">
        <v>183</v>
      </c>
      <c r="D14" s="2"/>
      <c r="E14" s="2"/>
    </row>
    <row r="16" spans="1:5" ht="21.75" customHeight="1" x14ac:dyDescent="0.3">
      <c r="A16" s="4" t="s">
        <v>65</v>
      </c>
      <c r="B16" s="4"/>
      <c r="C16" s="4"/>
      <c r="D16" s="4"/>
      <c r="E16" s="4"/>
    </row>
    <row r="17" spans="1:5" ht="27.75" customHeight="1" x14ac:dyDescent="0.3">
      <c r="A17" s="18" t="s">
        <v>66</v>
      </c>
      <c r="B17" s="1" t="s">
        <v>67</v>
      </c>
      <c r="C17" s="1"/>
    </row>
    <row r="18" spans="1:5" ht="199.5" customHeight="1" x14ac:dyDescent="0.3">
      <c r="A18" s="18" t="s">
        <v>68</v>
      </c>
      <c r="B18" s="2" t="s">
        <v>184</v>
      </c>
      <c r="C18" s="2"/>
      <c r="D18" s="2"/>
      <c r="E18" s="2"/>
    </row>
    <row r="20" spans="1:5" ht="81.75" customHeight="1" x14ac:dyDescent="0.3">
      <c r="A20" s="18" t="s">
        <v>69</v>
      </c>
      <c r="B20" s="19" t="s">
        <v>185</v>
      </c>
    </row>
    <row r="21" spans="1:5" ht="41.25" customHeight="1" x14ac:dyDescent="0.3">
      <c r="A21" s="18" t="s">
        <v>70</v>
      </c>
      <c r="B21" s="7" t="s">
        <v>71</v>
      </c>
    </row>
    <row r="22" spans="1:5" ht="81.75" customHeight="1" x14ac:dyDescent="0.3">
      <c r="A22" s="18" t="s">
        <v>72</v>
      </c>
      <c r="B22" s="7" t="s">
        <v>73</v>
      </c>
    </row>
  </sheetData>
  <mergeCells count="15">
    <mergeCell ref="A16:E16"/>
    <mergeCell ref="B17:C17"/>
    <mergeCell ref="B18:E18"/>
    <mergeCell ref="A12:B12"/>
    <mergeCell ref="C12:E12"/>
    <mergeCell ref="A13:B13"/>
    <mergeCell ref="C13:E13"/>
    <mergeCell ref="A14:B14"/>
    <mergeCell ref="C14:E14"/>
    <mergeCell ref="A1:E1"/>
    <mergeCell ref="B2:E2"/>
    <mergeCell ref="A4:E4"/>
    <mergeCell ref="A10:E10"/>
    <mergeCell ref="A11:B11"/>
    <mergeCell ref="C11:E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zoomScaleNormal="100" workbookViewId="0">
      <selection sqref="A1:B1"/>
    </sheetView>
  </sheetViews>
  <sheetFormatPr defaultColWidth="8.6640625" defaultRowHeight="14.4" x14ac:dyDescent="0.3"/>
  <cols>
    <col min="1" max="1" width="18" style="5" customWidth="1"/>
    <col min="2" max="2" width="95" style="5" customWidth="1"/>
  </cols>
  <sheetData>
    <row r="1" spans="1:2" ht="21.75" customHeight="1" x14ac:dyDescent="0.3">
      <c r="A1" s="4" t="s">
        <v>74</v>
      </c>
      <c r="B1" s="4"/>
    </row>
    <row r="2" spans="1:2" ht="15" customHeight="1" x14ac:dyDescent="0.3">
      <c r="A2" s="20" t="s">
        <v>75</v>
      </c>
      <c r="B2" s="21" t="s">
        <v>76</v>
      </c>
    </row>
    <row r="3" spans="1:2" ht="15" customHeight="1" x14ac:dyDescent="0.3">
      <c r="A3" s="20" t="s">
        <v>77</v>
      </c>
      <c r="B3" s="21" t="s">
        <v>78</v>
      </c>
    </row>
    <row r="4" spans="1:2" ht="15" customHeight="1" x14ac:dyDescent="0.3">
      <c r="A4" s="20" t="s">
        <v>79</v>
      </c>
      <c r="B4" s="21" t="s">
        <v>80</v>
      </c>
    </row>
    <row r="5" spans="1:2" ht="15" customHeight="1" x14ac:dyDescent="0.3">
      <c r="A5" s="20" t="s">
        <v>81</v>
      </c>
      <c r="B5" s="21" t="s">
        <v>82</v>
      </c>
    </row>
    <row r="6" spans="1:2" ht="15" customHeight="1" x14ac:dyDescent="0.3">
      <c r="A6" s="20" t="s">
        <v>83</v>
      </c>
      <c r="B6" s="21" t="s">
        <v>84</v>
      </c>
    </row>
    <row r="8" spans="1:2" ht="21.75" customHeight="1" x14ac:dyDescent="0.3">
      <c r="A8" s="4" t="s">
        <v>85</v>
      </c>
      <c r="B8" s="4"/>
    </row>
    <row r="9" spans="1:2" ht="15" customHeight="1" x14ac:dyDescent="0.3">
      <c r="A9" s="20" t="s">
        <v>75</v>
      </c>
      <c r="B9" s="21" t="s">
        <v>86</v>
      </c>
    </row>
    <row r="10" spans="1:2" ht="15" customHeight="1" x14ac:dyDescent="0.3">
      <c r="A10" s="20" t="s">
        <v>77</v>
      </c>
      <c r="B10" s="21" t="s">
        <v>87</v>
      </c>
    </row>
    <row r="11" spans="1:2" ht="15" customHeight="1" x14ac:dyDescent="0.3">
      <c r="A11" s="20" t="s">
        <v>79</v>
      </c>
      <c r="B11" s="21" t="s">
        <v>88</v>
      </c>
    </row>
    <row r="12" spans="1:2" ht="15" customHeight="1" x14ac:dyDescent="0.3">
      <c r="A12" s="20" t="s">
        <v>81</v>
      </c>
      <c r="B12" s="21" t="s">
        <v>89</v>
      </c>
    </row>
    <row r="13" spans="1:2" ht="15" customHeight="1" x14ac:dyDescent="0.3">
      <c r="A13" s="20" t="s">
        <v>83</v>
      </c>
      <c r="B13" s="21" t="s">
        <v>90</v>
      </c>
    </row>
    <row r="15" spans="1:2" ht="21.75" customHeight="1" x14ac:dyDescent="0.3">
      <c r="A15" s="4" t="s">
        <v>91</v>
      </c>
      <c r="B15" s="4"/>
    </row>
    <row r="16" spans="1:2" ht="15" customHeight="1" x14ac:dyDescent="0.3">
      <c r="A16" s="20" t="s">
        <v>92</v>
      </c>
      <c r="B16" s="21" t="s">
        <v>93</v>
      </c>
    </row>
    <row r="17" spans="1:2" ht="15" customHeight="1" x14ac:dyDescent="0.3">
      <c r="A17" s="20" t="s">
        <v>94</v>
      </c>
      <c r="B17" s="21" t="s">
        <v>95</v>
      </c>
    </row>
    <row r="18" spans="1:2" ht="15" customHeight="1" x14ac:dyDescent="0.3">
      <c r="A18" s="20" t="s">
        <v>96</v>
      </c>
      <c r="B18" s="21" t="s">
        <v>97</v>
      </c>
    </row>
    <row r="19" spans="1:2" ht="15" customHeight="1" x14ac:dyDescent="0.3">
      <c r="A19" s="20" t="s">
        <v>98</v>
      </c>
      <c r="B19" s="21" t="s">
        <v>99</v>
      </c>
    </row>
  </sheetData>
  <mergeCells count="3">
    <mergeCell ref="A1:B1"/>
    <mergeCell ref="A8:B8"/>
    <mergeCell ref="A15:B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opLeftCell="A6" zoomScaleNormal="100" workbookViewId="0"/>
  </sheetViews>
  <sheetFormatPr defaultColWidth="8.6640625" defaultRowHeight="14.4" x14ac:dyDescent="0.3"/>
  <cols>
    <col min="1" max="1" width="13" style="5" customWidth="1"/>
    <col min="2" max="2" width="50" style="5" customWidth="1"/>
    <col min="3" max="3" width="28" style="5" customWidth="1"/>
    <col min="4" max="4" width="80" style="5" customWidth="1"/>
  </cols>
  <sheetData>
    <row r="1" spans="1:4" ht="21.75" customHeight="1" x14ac:dyDescent="0.3">
      <c r="A1" s="13" t="s">
        <v>22</v>
      </c>
      <c r="B1" s="13" t="s">
        <v>23</v>
      </c>
      <c r="C1" s="13" t="s">
        <v>24</v>
      </c>
      <c r="D1" s="13" t="s">
        <v>100</v>
      </c>
    </row>
    <row r="2" spans="1:4" ht="36" customHeight="1" x14ac:dyDescent="0.3">
      <c r="A2" s="20" t="s">
        <v>101</v>
      </c>
      <c r="B2" s="21" t="s">
        <v>102</v>
      </c>
      <c r="C2" s="21" t="s">
        <v>36</v>
      </c>
      <c r="D2" s="21" t="s">
        <v>103</v>
      </c>
    </row>
    <row r="3" spans="1:4" ht="36" customHeight="1" x14ac:dyDescent="0.3">
      <c r="A3" s="20" t="s">
        <v>34</v>
      </c>
      <c r="B3" s="21" t="s">
        <v>35</v>
      </c>
      <c r="C3" s="21" t="s">
        <v>36</v>
      </c>
      <c r="D3" s="21" t="s">
        <v>104</v>
      </c>
    </row>
    <row r="4" spans="1:4" ht="36" customHeight="1" x14ac:dyDescent="0.3">
      <c r="A4" s="20" t="s">
        <v>48</v>
      </c>
      <c r="B4" s="21" t="s">
        <v>105</v>
      </c>
      <c r="C4" s="21" t="s">
        <v>50</v>
      </c>
      <c r="D4" s="21" t="s">
        <v>106</v>
      </c>
    </row>
    <row r="5" spans="1:4" ht="36" customHeight="1" x14ac:dyDescent="0.3">
      <c r="A5" s="20" t="s">
        <v>107</v>
      </c>
      <c r="B5" s="21" t="s">
        <v>108</v>
      </c>
      <c r="C5" s="21" t="s">
        <v>109</v>
      </c>
      <c r="D5" s="21" t="s">
        <v>110</v>
      </c>
    </row>
    <row r="6" spans="1:4" ht="36" customHeight="1" x14ac:dyDescent="0.3">
      <c r="A6" s="20" t="s">
        <v>54</v>
      </c>
      <c r="B6" s="21" t="s">
        <v>55</v>
      </c>
      <c r="C6" s="21" t="s">
        <v>56</v>
      </c>
      <c r="D6" s="21" t="s">
        <v>111</v>
      </c>
    </row>
    <row r="7" spans="1:4" ht="36" customHeight="1" x14ac:dyDescent="0.3">
      <c r="A7" s="20" t="s">
        <v>51</v>
      </c>
      <c r="B7" s="21" t="s">
        <v>52</v>
      </c>
      <c r="C7" s="21" t="s">
        <v>53</v>
      </c>
      <c r="D7" s="21" t="s">
        <v>112</v>
      </c>
    </row>
    <row r="8" spans="1:4" ht="36" customHeight="1" x14ac:dyDescent="0.3">
      <c r="A8" s="20" t="s">
        <v>113</v>
      </c>
      <c r="B8" s="21" t="s">
        <v>114</v>
      </c>
      <c r="C8" s="21" t="s">
        <v>115</v>
      </c>
      <c r="D8" s="21" t="s">
        <v>116</v>
      </c>
    </row>
    <row r="9" spans="1:4" ht="36" customHeight="1" x14ac:dyDescent="0.3">
      <c r="A9" s="20" t="s">
        <v>42</v>
      </c>
      <c r="B9" s="21" t="s">
        <v>43</v>
      </c>
      <c r="C9" s="21" t="s">
        <v>44</v>
      </c>
      <c r="D9" s="21" t="s">
        <v>117</v>
      </c>
    </row>
    <row r="10" spans="1:4" ht="36" customHeight="1" x14ac:dyDescent="0.3">
      <c r="A10" s="20" t="s">
        <v>118</v>
      </c>
      <c r="B10" s="21" t="s">
        <v>119</v>
      </c>
      <c r="C10" s="21" t="s">
        <v>120</v>
      </c>
      <c r="D10" s="21" t="s">
        <v>121</v>
      </c>
    </row>
    <row r="11" spans="1:4" ht="36" customHeight="1" x14ac:dyDescent="0.3">
      <c r="A11" s="20" t="s">
        <v>122</v>
      </c>
      <c r="B11" s="21" t="s">
        <v>123</v>
      </c>
      <c r="C11" s="21" t="s">
        <v>44</v>
      </c>
      <c r="D11" s="21" t="s">
        <v>124</v>
      </c>
    </row>
    <row r="12" spans="1:4" ht="36" customHeight="1" x14ac:dyDescent="0.3">
      <c r="A12" s="20" t="s">
        <v>125</v>
      </c>
      <c r="B12" s="21" t="s">
        <v>126</v>
      </c>
      <c r="C12" s="21" t="s">
        <v>115</v>
      </c>
      <c r="D12" s="21" t="s">
        <v>127</v>
      </c>
    </row>
    <row r="13" spans="1:4" ht="36" customHeight="1" x14ac:dyDescent="0.3">
      <c r="A13" s="20" t="s">
        <v>128</v>
      </c>
      <c r="B13" s="21" t="s">
        <v>129</v>
      </c>
      <c r="C13" s="21" t="s">
        <v>130</v>
      </c>
      <c r="D13" s="21" t="s">
        <v>131</v>
      </c>
    </row>
    <row r="14" spans="1:4" ht="36" customHeight="1" x14ac:dyDescent="0.3">
      <c r="A14" s="20" t="s">
        <v>132</v>
      </c>
      <c r="B14" s="21" t="s">
        <v>133</v>
      </c>
      <c r="C14" s="21" t="s">
        <v>53</v>
      </c>
      <c r="D14" s="21" t="s">
        <v>134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opLeftCell="A2" zoomScaleNormal="100" workbookViewId="0"/>
  </sheetViews>
  <sheetFormatPr defaultColWidth="8.6640625" defaultRowHeight="14.4" x14ac:dyDescent="0.3"/>
  <cols>
    <col min="1" max="1" width="32" style="5" customWidth="1"/>
    <col min="2" max="2" width="110" style="5" customWidth="1"/>
  </cols>
  <sheetData>
    <row r="1" spans="1:2" ht="21.75" customHeight="1" x14ac:dyDescent="0.3">
      <c r="A1" s="13" t="s">
        <v>30</v>
      </c>
      <c r="B1" s="13" t="s">
        <v>135</v>
      </c>
    </row>
    <row r="2" spans="1:2" ht="37.5" customHeight="1" x14ac:dyDescent="0.3">
      <c r="A2" s="20" t="s">
        <v>136</v>
      </c>
      <c r="B2" s="21" t="s">
        <v>137</v>
      </c>
    </row>
    <row r="3" spans="1:2" ht="37.5" customHeight="1" x14ac:dyDescent="0.3">
      <c r="A3" s="20" t="s">
        <v>138</v>
      </c>
      <c r="B3" s="21" t="s">
        <v>139</v>
      </c>
    </row>
    <row r="4" spans="1:2" ht="37.5" customHeight="1" x14ac:dyDescent="0.3">
      <c r="A4" s="20" t="s">
        <v>38</v>
      </c>
      <c r="B4" s="21" t="s">
        <v>140</v>
      </c>
    </row>
    <row r="5" spans="1:2" ht="37.5" customHeight="1" x14ac:dyDescent="0.3">
      <c r="A5" s="20" t="s">
        <v>141</v>
      </c>
      <c r="B5" s="21" t="s">
        <v>142</v>
      </c>
    </row>
    <row r="6" spans="1:2" ht="37.5" customHeight="1" x14ac:dyDescent="0.3">
      <c r="A6" s="20" t="s">
        <v>143</v>
      </c>
      <c r="B6" s="21" t="s">
        <v>144</v>
      </c>
    </row>
    <row r="7" spans="1:2" ht="37.5" customHeight="1" x14ac:dyDescent="0.3">
      <c r="A7" s="20" t="s">
        <v>145</v>
      </c>
      <c r="B7" s="21" t="s">
        <v>146</v>
      </c>
    </row>
    <row r="8" spans="1:2" ht="37.5" customHeight="1" x14ac:dyDescent="0.3">
      <c r="A8" s="20" t="s">
        <v>147</v>
      </c>
      <c r="B8" s="21" t="s">
        <v>148</v>
      </c>
    </row>
    <row r="9" spans="1:2" ht="37.5" customHeight="1" x14ac:dyDescent="0.3">
      <c r="A9" s="20" t="s">
        <v>149</v>
      </c>
      <c r="B9" s="21" t="s">
        <v>150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zoomScaleNormal="100" workbookViewId="0"/>
  </sheetViews>
  <sheetFormatPr defaultColWidth="8.6640625" defaultRowHeight="14.4" x14ac:dyDescent="0.3"/>
  <cols>
    <col min="1" max="1" width="26" style="5" customWidth="1"/>
    <col min="2" max="2" width="110" style="5" customWidth="1"/>
  </cols>
  <sheetData>
    <row r="1" spans="1:2" ht="15" customHeight="1" x14ac:dyDescent="0.3">
      <c r="A1" s="22" t="s">
        <v>151</v>
      </c>
      <c r="B1" s="22" t="s">
        <v>152</v>
      </c>
    </row>
    <row r="2" spans="1:2" ht="60" customHeight="1" x14ac:dyDescent="0.3">
      <c r="A2" s="23" t="s">
        <v>153</v>
      </c>
      <c r="B2" s="23" t="s">
        <v>154</v>
      </c>
    </row>
    <row r="3" spans="1:2" ht="60" customHeight="1" x14ac:dyDescent="0.3">
      <c r="A3" s="23" t="s">
        <v>155</v>
      </c>
      <c r="B3" s="23" t="s">
        <v>156</v>
      </c>
    </row>
    <row r="4" spans="1:2" ht="60" customHeight="1" x14ac:dyDescent="0.3">
      <c r="A4" s="23" t="s">
        <v>157</v>
      </c>
      <c r="B4" s="23" t="s">
        <v>158</v>
      </c>
    </row>
    <row r="5" spans="1:2" ht="60" customHeight="1" x14ac:dyDescent="0.3">
      <c r="A5" s="23" t="s">
        <v>159</v>
      </c>
      <c r="B5" s="23" t="s">
        <v>160</v>
      </c>
    </row>
    <row r="6" spans="1:2" ht="60" customHeight="1" x14ac:dyDescent="0.3">
      <c r="A6" s="23" t="s">
        <v>161</v>
      </c>
      <c r="B6" s="23" t="s">
        <v>162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 Brief</vt:lpstr>
      <vt:lpstr>Threat Model</vt:lpstr>
      <vt:lpstr>Board Brief</vt:lpstr>
      <vt:lpstr>Scoring Rubric</vt:lpstr>
      <vt:lpstr>ATLAS TTP Reference</vt:lpstr>
      <vt:lpstr>Control Family Reference</vt:lpstr>
      <vt:lpstr>ATLAS Reference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Dr.Sahib</cp:lastModifiedBy>
  <cp:revision>0</cp:revision>
  <dcterms:created xsi:type="dcterms:W3CDTF">2026-05-08T15:52:28Z</dcterms:created>
  <dcterms:modified xsi:type="dcterms:W3CDTF">2026-10-27T17:22:36Z</dcterms:modified>
  <dc:language>en-US</dc:language>
</cp:coreProperties>
</file>